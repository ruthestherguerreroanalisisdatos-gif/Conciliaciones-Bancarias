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to\Downloads\"/>
    </mc:Choice>
  </mc:AlternateContent>
  <xr:revisionPtr revIDLastSave="0" documentId="8_{43CA42F0-CCF1-413E-A585-11C8BBD6F2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ero 2026" sheetId="1" r:id="rId1"/>
  </sheets>
  <calcPr calcId="181029"/>
</workbook>
</file>

<file path=xl/calcChain.xml><?xml version="1.0" encoding="utf-8"?>
<calcChain xmlns="http://schemas.openxmlformats.org/spreadsheetml/2006/main">
  <c r="D5" i="1" l="1"/>
  <c r="F5" i="1" s="1"/>
  <c r="F6" i="1" s="1"/>
  <c r="F7" i="1" s="1"/>
  <c r="F8" i="1" s="1"/>
  <c r="F9" i="1" s="1"/>
  <c r="F10" i="1" s="1"/>
  <c r="F11" i="1" s="1"/>
  <c r="F12" i="1" s="1"/>
  <c r="F13" i="1" s="1"/>
</calcChain>
</file>

<file path=xl/sharedStrings.xml><?xml version="1.0" encoding="utf-8"?>
<sst xmlns="http://schemas.openxmlformats.org/spreadsheetml/2006/main" count="17" uniqueCount="16">
  <si>
    <t>Balance anterior</t>
  </si>
  <si>
    <t>Fecha</t>
  </si>
  <si>
    <t>Detalle</t>
  </si>
  <si>
    <t>Cheque</t>
  </si>
  <si>
    <t>Debito</t>
  </si>
  <si>
    <t>Credito</t>
  </si>
  <si>
    <t>Balance</t>
  </si>
  <si>
    <t>Abono a prestamo</t>
  </si>
  <si>
    <t>Cobro de Impuestos</t>
  </si>
  <si>
    <t>Transferencia</t>
  </si>
  <si>
    <t>Pago intereses</t>
  </si>
  <si>
    <t>Impuestos por intereses</t>
  </si>
  <si>
    <t>Balance Conciliado al 31 de Enero 2026</t>
  </si>
  <si>
    <t>Consultores y Bienes Raíces</t>
  </si>
  <si>
    <t>Conciliación Bancaria Cta 2020</t>
  </si>
  <si>
    <t xml:space="preserve">Retiro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</si>
</sst>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>
    <font>
      <sz val="11"/>
      <color theme="1"/>
      <name val="Calibri"/>
      <scheme val="minor"/>
    </font>
    <font>
      <b/>
      <sz val="22"/>
      <color theme="1"/>
      <name val="Arial"/>
    </font>
    <font>
      <sz val="11"/>
      <name val="Calibri"/>
    </font>
    <font>
      <sz val="16"/>
      <color theme="1"/>
      <name val="Calibri"/>
    </font>
    <font>
      <b/>
      <sz val="16"/>
      <color theme="1"/>
      <name val="Calibri"/>
    </font>
    <font>
      <b/>
      <sz val="16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6"/>
      <color rgb="FFED0000"/>
      <name val="Calibri"/>
    </font>
    <font>
      <b/>
      <sz val="16"/>
      <color rgb="FF002060"/>
      <name val="Calibri"/>
    </font>
    <font>
      <b/>
      <sz val="14"/>
      <color rgb="FFED0000"/>
      <name val="Arial"/>
    </font>
    <font>
      <sz val="14"/>
      <color rgb="FFED0000"/>
      <name val="Arial"/>
    </font>
    <font>
      <b/>
      <sz val="14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E3C"/>
        <bgColor rgb="FFFFCE3C"/>
      </patternFill>
    </fill>
    <fill>
      <patternFill patternType="solid">
        <fgColor rgb="FFB4C6E7"/>
        <bgColor rgb="FFB4C6E7"/>
      </patternFill>
    </fill>
    <fill>
      <patternFill patternType="solid">
        <fgColor rgb="FF00B050"/>
        <bgColor rgb="FF00B050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rgb="FFFFE599"/>
        <bgColor rgb="FFFFE59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5" fillId="5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14" fontId="6" fillId="6" borderId="4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164" fontId="4" fillId="6" borderId="5" xfId="0" applyNumberFormat="1" applyFont="1" applyFill="1" applyBorder="1" applyAlignment="1">
      <alignment horizontal="center"/>
    </xf>
    <xf numFmtId="164" fontId="8" fillId="6" borderId="4" xfId="0" applyNumberFormat="1" applyFont="1" applyFill="1" applyBorder="1"/>
    <xf numFmtId="164" fontId="9" fillId="6" borderId="4" xfId="0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  <xf numFmtId="164" fontId="10" fillId="6" borderId="4" xfId="0" applyNumberFormat="1" applyFont="1" applyFill="1" applyBorder="1" applyAlignment="1">
      <alignment horizontal="center"/>
    </xf>
    <xf numFmtId="164" fontId="12" fillId="6" borderId="4" xfId="0" applyNumberFormat="1" applyFont="1" applyFill="1" applyBorder="1" applyAlignment="1">
      <alignment horizontal="center"/>
    </xf>
    <xf numFmtId="164" fontId="6" fillId="6" borderId="4" xfId="0" applyNumberFormat="1" applyFont="1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164" fontId="11" fillId="6" borderId="4" xfId="0" applyNumberFormat="1" applyFont="1" applyFill="1" applyBorder="1" applyAlignment="1">
      <alignment horizontal="center"/>
    </xf>
    <xf numFmtId="14" fontId="7" fillId="7" borderId="4" xfId="0" applyNumberFormat="1" applyFont="1" applyFill="1" applyBorder="1" applyAlignment="1">
      <alignment horizontal="center"/>
    </xf>
    <xf numFmtId="164" fontId="12" fillId="8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000"/>
  <sheetViews>
    <sheetView tabSelected="1" topLeftCell="A2" workbookViewId="0">
      <selection activeCell="B9" sqref="B9"/>
    </sheetView>
  </sheetViews>
  <sheetFormatPr baseColWidth="10" defaultColWidth="14.42578125" defaultRowHeight="15" customHeight="1"/>
  <cols>
    <col min="1" max="1" width="20.28515625" customWidth="1"/>
    <col min="2" max="2" width="47.85546875" customWidth="1"/>
    <col min="3" max="3" width="17.5703125" customWidth="1"/>
    <col min="4" max="4" width="32.7109375" customWidth="1"/>
    <col min="5" max="5" width="30.85546875" customWidth="1"/>
    <col min="6" max="6" width="26.85546875" customWidth="1"/>
    <col min="7" max="26" width="10.7109375" customWidth="1"/>
  </cols>
  <sheetData>
    <row r="1" spans="1:6" ht="53.25" customHeight="1">
      <c r="A1" s="18" t="s">
        <v>13</v>
      </c>
      <c r="B1" s="19"/>
      <c r="C1" s="19"/>
      <c r="D1" s="19"/>
      <c r="E1" s="19"/>
      <c r="F1" s="20"/>
    </row>
    <row r="2" spans="1:6" ht="56.25" customHeight="1">
      <c r="A2" s="18" t="s">
        <v>14</v>
      </c>
      <c r="B2" s="19"/>
      <c r="C2" s="19"/>
      <c r="D2" s="19"/>
      <c r="E2" s="19"/>
      <c r="F2" s="20"/>
    </row>
    <row r="3" spans="1:6" ht="29.25" customHeight="1">
      <c r="A3" s="21" t="s">
        <v>0</v>
      </c>
      <c r="B3" s="19"/>
      <c r="C3" s="20"/>
      <c r="D3" s="22">
        <v>1049134.74</v>
      </c>
      <c r="E3" s="19"/>
      <c r="F3" s="20"/>
    </row>
    <row r="4" spans="1:6" ht="20.25">
      <c r="A4" s="1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3" t="s">
        <v>6</v>
      </c>
    </row>
    <row r="5" spans="1:6" ht="21">
      <c r="A5" s="4">
        <v>46387</v>
      </c>
      <c r="B5" s="5" t="s">
        <v>0</v>
      </c>
      <c r="C5" s="6"/>
      <c r="D5" s="7">
        <f>SUM(D3)</f>
        <v>1049134.74</v>
      </c>
      <c r="E5" s="8"/>
      <c r="F5" s="9">
        <f>SUM(D5-E5)</f>
        <v>1049134.74</v>
      </c>
    </row>
    <row r="6" spans="1:6" ht="21">
      <c r="A6" s="4">
        <v>46026</v>
      </c>
      <c r="B6" s="5" t="s">
        <v>7</v>
      </c>
      <c r="C6" s="6"/>
      <c r="D6" s="10"/>
      <c r="E6" s="11">
        <v>50405.15</v>
      </c>
      <c r="F6" s="12">
        <f t="shared" ref="F6:F13" si="0">SUM(F5+D6-E6)</f>
        <v>998729.59</v>
      </c>
    </row>
    <row r="7" spans="1:6" ht="18">
      <c r="A7" s="4">
        <v>46042</v>
      </c>
      <c r="B7" s="5" t="s">
        <v>15</v>
      </c>
      <c r="C7" s="6"/>
      <c r="D7" s="13"/>
      <c r="E7" s="11">
        <v>300000</v>
      </c>
      <c r="F7" s="12">
        <f t="shared" si="0"/>
        <v>698729.59</v>
      </c>
    </row>
    <row r="8" spans="1:6" ht="18">
      <c r="A8" s="4">
        <v>46042</v>
      </c>
      <c r="B8" s="5" t="s">
        <v>8</v>
      </c>
      <c r="C8" s="6"/>
      <c r="D8" s="13"/>
      <c r="E8" s="11">
        <v>75.61</v>
      </c>
      <c r="F8" s="12">
        <f t="shared" si="0"/>
        <v>698653.98</v>
      </c>
    </row>
    <row r="9" spans="1:6" ht="18">
      <c r="A9" s="4">
        <v>46042</v>
      </c>
      <c r="B9" s="5" t="s">
        <v>9</v>
      </c>
      <c r="C9" s="6"/>
      <c r="D9" s="13"/>
      <c r="E9" s="11">
        <v>400000</v>
      </c>
      <c r="F9" s="12">
        <f t="shared" si="0"/>
        <v>298653.98</v>
      </c>
    </row>
    <row r="10" spans="1:6" ht="18">
      <c r="A10" s="4">
        <v>46042</v>
      </c>
      <c r="B10" s="5" t="s">
        <v>10</v>
      </c>
      <c r="C10" s="6"/>
      <c r="D10" s="14">
        <v>368.61</v>
      </c>
      <c r="E10" s="15"/>
      <c r="F10" s="12">
        <f t="shared" si="0"/>
        <v>299022.58999999997</v>
      </c>
    </row>
    <row r="11" spans="1:6" ht="18">
      <c r="A11" s="4">
        <v>46042</v>
      </c>
      <c r="B11" s="5" t="s">
        <v>11</v>
      </c>
      <c r="C11" s="6"/>
      <c r="D11" s="13"/>
      <c r="E11" s="11">
        <v>36.86</v>
      </c>
      <c r="F11" s="12">
        <f t="shared" si="0"/>
        <v>298985.73</v>
      </c>
    </row>
    <row r="12" spans="1:6" ht="18">
      <c r="A12" s="4"/>
      <c r="B12" s="5"/>
      <c r="C12" s="6"/>
      <c r="D12" s="13"/>
      <c r="E12" s="15"/>
      <c r="F12" s="12">
        <f t="shared" si="0"/>
        <v>298985.73</v>
      </c>
    </row>
    <row r="13" spans="1:6" ht="18">
      <c r="A13" s="16"/>
      <c r="B13" s="23" t="s">
        <v>12</v>
      </c>
      <c r="C13" s="24"/>
      <c r="D13" s="24"/>
      <c r="E13" s="25"/>
      <c r="F13" s="17">
        <f t="shared" si="0"/>
        <v>298985.73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3:C3"/>
    <mergeCell ref="D3:F3"/>
    <mergeCell ref="B13:E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Ruth Esther Guerrero del Rosario</cp:lastModifiedBy>
  <dcterms:created xsi:type="dcterms:W3CDTF">2026-09-10T17:43:46Z</dcterms:created>
  <dcterms:modified xsi:type="dcterms:W3CDTF">2026-09-10T17:43:46Z</dcterms:modified>
</cp:coreProperties>
</file>